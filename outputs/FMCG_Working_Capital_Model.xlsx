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CF Scenario" sheetId="3" state="visible" r:id="rId3"/>
    <sheet xmlns:r="http://schemas.openxmlformats.org/officeDocument/2006/relationships" name="CCC Trend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858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4" customWidth="1" min="5" max="5"/>
    <col width="13" customWidth="1" min="6" max="6"/>
  </cols>
  <sheetData>
    <row r="1">
      <c r="A1" s="1" t="inlineStr">
        <is>
          <t>FY2025 working-capital inputs (blue = source data)</t>
        </is>
      </c>
    </row>
    <row r="2">
      <c r="A2" t="inlineStr">
        <is>
          <t>Source: Screener.in ratios tables (consolidated; Britannia and Colgate standalone). Sales in Rs crore.</t>
        </is>
      </c>
    </row>
    <row r="4" ht="32" customHeight="1">
      <c r="A4" s="2" t="inlineStr">
        <is>
          <t>Company</t>
        </is>
      </c>
      <c r="B4" s="2" t="inlineStr">
        <is>
          <t>Ticker</t>
        </is>
      </c>
      <c r="C4" s="2" t="inlineStr">
        <is>
          <t>Sales (Rs cr)</t>
        </is>
      </c>
      <c r="D4" s="2" t="inlineStr">
        <is>
          <t>Debtor days</t>
        </is>
      </c>
      <c r="E4" s="2" t="inlineStr">
        <is>
          <t>Inventory days</t>
        </is>
      </c>
      <c r="F4" s="2" t="inlineStr">
        <is>
          <t>Payable days</t>
        </is>
      </c>
    </row>
    <row r="5">
      <c r="A5" t="inlineStr">
        <is>
          <t>ITC</t>
        </is>
      </c>
      <c r="B5" t="inlineStr">
        <is>
          <t>ITC</t>
        </is>
      </c>
      <c r="C5" s="3" t="n">
        <v>75323</v>
      </c>
      <c r="D5" s="3" t="n">
        <v>23</v>
      </c>
      <c r="E5" s="3" t="n">
        <v>178</v>
      </c>
      <c r="F5" s="3" t="n">
        <v>55</v>
      </c>
    </row>
    <row r="6">
      <c r="A6" t="inlineStr">
        <is>
          <t>Hindustan Unilever</t>
        </is>
      </c>
      <c r="B6" t="inlineStr">
        <is>
          <t>HINDUNILVR</t>
        </is>
      </c>
      <c r="C6" s="3" t="n">
        <v>61328</v>
      </c>
      <c r="D6" s="3" t="n">
        <v>23</v>
      </c>
      <c r="E6" s="3" t="n">
        <v>61</v>
      </c>
      <c r="F6" s="3" t="n">
        <v>156</v>
      </c>
    </row>
    <row r="7">
      <c r="A7" t="inlineStr">
        <is>
          <t>Tata Consumer Products</t>
        </is>
      </c>
      <c r="B7" t="inlineStr">
        <is>
          <t>TATACONSUM</t>
        </is>
      </c>
      <c r="C7" s="3" t="n">
        <v>17618</v>
      </c>
      <c r="D7" s="3" t="n">
        <v>18</v>
      </c>
      <c r="E7" s="3" t="n">
        <v>152</v>
      </c>
      <c r="F7" s="3" t="n">
        <v>148</v>
      </c>
    </row>
    <row r="8">
      <c r="A8" t="inlineStr">
        <is>
          <t>Britannia Industries</t>
        </is>
      </c>
      <c r="B8" t="inlineStr">
        <is>
          <t>BRITANNIA</t>
        </is>
      </c>
      <c r="C8" s="3" t="n">
        <v>17296</v>
      </c>
      <c r="D8" s="3" t="n">
        <v>8</v>
      </c>
      <c r="E8" s="3" t="n">
        <v>39</v>
      </c>
      <c r="F8" s="3" t="n">
        <v>55</v>
      </c>
    </row>
    <row r="9">
      <c r="A9" t="inlineStr">
        <is>
          <t>Godrej Consumer Products</t>
        </is>
      </c>
      <c r="B9" t="inlineStr">
        <is>
          <t>GODREJCP</t>
        </is>
      </c>
      <c r="C9" s="3" t="n">
        <v>14364</v>
      </c>
      <c r="D9" s="3" t="n">
        <v>46</v>
      </c>
      <c r="E9" s="3" t="n">
        <v>79</v>
      </c>
      <c r="F9" s="3" t="n">
        <v>120</v>
      </c>
    </row>
    <row r="10">
      <c r="A10" t="inlineStr">
        <is>
          <t>Dabur India</t>
        </is>
      </c>
      <c r="B10" t="inlineStr">
        <is>
          <t>DABUR</t>
        </is>
      </c>
      <c r="C10" s="3" t="n">
        <v>12563</v>
      </c>
      <c r="D10" s="3" t="n">
        <v>26</v>
      </c>
      <c r="E10" s="3" t="n">
        <v>175</v>
      </c>
      <c r="F10" s="3" t="n">
        <v>215</v>
      </c>
    </row>
    <row r="11">
      <c r="A11" t="inlineStr">
        <is>
          <t>Marico</t>
        </is>
      </c>
      <c r="B11" t="inlineStr">
        <is>
          <t>MARICO</t>
        </is>
      </c>
      <c r="C11" s="3" t="n">
        <v>10831</v>
      </c>
      <c r="D11" s="3" t="n">
        <v>43</v>
      </c>
      <c r="E11" s="3" t="n">
        <v>93</v>
      </c>
      <c r="F11" s="3" t="n">
        <v>103</v>
      </c>
    </row>
    <row r="12">
      <c r="A12" t="inlineStr">
        <is>
          <t>Colgate-Palmolive (India)</t>
        </is>
      </c>
      <c r="B12" t="inlineStr">
        <is>
          <t>COLPAL</t>
        </is>
      </c>
      <c r="C12" s="3" t="n">
        <v>6040</v>
      </c>
      <c r="D12" s="3" t="n">
        <v>14</v>
      </c>
      <c r="E12" s="3" t="n">
        <v>76</v>
      </c>
      <c r="F12" s="3" t="n">
        <v>185</v>
      </c>
    </row>
    <row r="13">
      <c r="A13" t="inlineStr">
        <is>
          <t>Emami</t>
        </is>
      </c>
      <c r="B13" t="inlineStr">
        <is>
          <t>EMAMILTD</t>
        </is>
      </c>
      <c r="C13" s="3" t="n">
        <v>3809</v>
      </c>
      <c r="D13" s="3" t="n">
        <v>43</v>
      </c>
      <c r="E13" s="3" t="n">
        <v>94</v>
      </c>
      <c r="F13" s="3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13" customWidth="1" min="5" max="5"/>
    <col width="13" customWidth="1" min="6" max="6"/>
    <col width="13" customWidth="1" min="7" max="7"/>
    <col width="15" customWidth="1" min="8" max="8"/>
    <col width="20" customWidth="1" min="9" max="9"/>
  </cols>
  <sheetData>
    <row r="1">
      <c r="A1" s="1" t="inlineStr">
        <is>
          <t>Cash conversion cycle and cash release to peer median</t>
        </is>
      </c>
    </row>
    <row r="2">
      <c r="A2" t="inlineStr">
        <is>
          <t>Cash per day = Sales / 365. Release = days worse than peer median x cash per day (0 if already better).</t>
        </is>
      </c>
    </row>
    <row r="4" ht="32" customHeight="1">
      <c r="A4" s="2" t="inlineStr">
        <is>
          <t>Company</t>
        </is>
      </c>
      <c r="B4" s="2" t="inlineStr">
        <is>
          <t>Cash per day (Rs cr)</t>
        </is>
      </c>
      <c r="C4" s="2" t="inlineStr">
        <is>
          <t>CCC (days)</t>
        </is>
      </c>
      <c r="D4" s="2" t="inlineStr">
        <is>
          <t>Cash tied up (Rs cr)</t>
        </is>
      </c>
      <c r="E4" s="2" t="inlineStr">
        <is>
          <t>Release: receivables</t>
        </is>
      </c>
      <c r="F4" s="2" t="inlineStr">
        <is>
          <t>Release: inventory</t>
        </is>
      </c>
      <c r="G4" s="2" t="inlineStr">
        <is>
          <t>Release: payables</t>
        </is>
      </c>
      <c r="H4" s="2" t="inlineStr">
        <is>
          <t>Total release (Rs cr)</t>
        </is>
      </c>
      <c r="I4" s="2" t="inlineStr">
        <is>
          <t>Biggest lever</t>
        </is>
      </c>
    </row>
    <row r="5">
      <c r="A5">
        <f>Inputs!A5</f>
        <v/>
      </c>
      <c r="B5" s="4">
        <f>Inputs!C5/365</f>
        <v/>
      </c>
      <c r="C5" s="4">
        <f>Inputs!D5+Inputs!E5-Inputs!F5</f>
        <v/>
      </c>
      <c r="D5" s="4">
        <f>C5*B5</f>
        <v/>
      </c>
      <c r="E5" s="4">
        <f>MAX(0,Inputs!D5-MEDIAN(Inputs!D$5:Inputs!D$13))*B5</f>
        <v/>
      </c>
      <c r="F5" s="4">
        <f>MAX(0,Inputs!E5-MEDIAN(Inputs!E$5:Inputs!E$13))*B5</f>
        <v/>
      </c>
      <c r="G5" s="4">
        <f>MAX(0,MEDIAN(Inputs!F$5:Inputs!F$13)-Inputs!F5)*B5</f>
        <v/>
      </c>
      <c r="H5" s="4">
        <f>SUM(E5:G5)</f>
        <v/>
      </c>
      <c r="I5">
        <f>IF(H5=0,"At/better than median",IF(E5=MAX(E5:G5),"Receivables",IF(F5=MAX(E5:G5),"Inventory","Payables")))</f>
        <v/>
      </c>
    </row>
    <row r="6">
      <c r="A6">
        <f>Inputs!A6</f>
        <v/>
      </c>
      <c r="B6" s="4">
        <f>Inputs!C6/365</f>
        <v/>
      </c>
      <c r="C6" s="4">
        <f>Inputs!D6+Inputs!E6-Inputs!F6</f>
        <v/>
      </c>
      <c r="D6" s="4">
        <f>C6*B6</f>
        <v/>
      </c>
      <c r="E6" s="4">
        <f>MAX(0,Inputs!D6-MEDIAN(Inputs!D$5:Inputs!D$13))*B6</f>
        <v/>
      </c>
      <c r="F6" s="4">
        <f>MAX(0,Inputs!E6-MEDIAN(Inputs!E$5:Inputs!E$13))*B6</f>
        <v/>
      </c>
      <c r="G6" s="4">
        <f>MAX(0,MEDIAN(Inputs!F$5:Inputs!F$13)-Inputs!F6)*B6</f>
        <v/>
      </c>
      <c r="H6" s="4">
        <f>SUM(E6:G6)</f>
        <v/>
      </c>
      <c r="I6">
        <f>IF(H6=0,"At/better than median",IF(E6=MAX(E6:G6),"Receivables",IF(F6=MAX(E6:G6),"Inventory","Payables")))</f>
        <v/>
      </c>
    </row>
    <row r="7">
      <c r="A7">
        <f>Inputs!A7</f>
        <v/>
      </c>
      <c r="B7" s="4">
        <f>Inputs!C7/365</f>
        <v/>
      </c>
      <c r="C7" s="4">
        <f>Inputs!D7+Inputs!E7-Inputs!F7</f>
        <v/>
      </c>
      <c r="D7" s="4">
        <f>C7*B7</f>
        <v/>
      </c>
      <c r="E7" s="4">
        <f>MAX(0,Inputs!D7-MEDIAN(Inputs!D$5:Inputs!D$13))*B7</f>
        <v/>
      </c>
      <c r="F7" s="4">
        <f>MAX(0,Inputs!E7-MEDIAN(Inputs!E$5:Inputs!E$13))*B7</f>
        <v/>
      </c>
      <c r="G7" s="4">
        <f>MAX(0,MEDIAN(Inputs!F$5:Inputs!F$13)-Inputs!F7)*B7</f>
        <v/>
      </c>
      <c r="H7" s="4">
        <f>SUM(E7:G7)</f>
        <v/>
      </c>
      <c r="I7">
        <f>IF(H7=0,"At/better than median",IF(E7=MAX(E7:G7),"Receivables",IF(F7=MAX(E7:G7),"Inventory","Payables")))</f>
        <v/>
      </c>
    </row>
    <row r="8">
      <c r="A8">
        <f>Inputs!A8</f>
        <v/>
      </c>
      <c r="B8" s="4">
        <f>Inputs!C8/365</f>
        <v/>
      </c>
      <c r="C8" s="4">
        <f>Inputs!D8+Inputs!E8-Inputs!F8</f>
        <v/>
      </c>
      <c r="D8" s="4">
        <f>C8*B8</f>
        <v/>
      </c>
      <c r="E8" s="4">
        <f>MAX(0,Inputs!D8-MEDIAN(Inputs!D$5:Inputs!D$13))*B8</f>
        <v/>
      </c>
      <c r="F8" s="4">
        <f>MAX(0,Inputs!E8-MEDIAN(Inputs!E$5:Inputs!E$13))*B8</f>
        <v/>
      </c>
      <c r="G8" s="4">
        <f>MAX(0,MEDIAN(Inputs!F$5:Inputs!F$13)-Inputs!F8)*B8</f>
        <v/>
      </c>
      <c r="H8" s="4">
        <f>SUM(E8:G8)</f>
        <v/>
      </c>
      <c r="I8">
        <f>IF(H8=0,"At/better than median",IF(E8=MAX(E8:G8),"Receivables",IF(F8=MAX(E8:G8),"Inventory","Payables")))</f>
        <v/>
      </c>
    </row>
    <row r="9">
      <c r="A9">
        <f>Inputs!A9</f>
        <v/>
      </c>
      <c r="B9" s="4">
        <f>Inputs!C9/365</f>
        <v/>
      </c>
      <c r="C9" s="4">
        <f>Inputs!D9+Inputs!E9-Inputs!F9</f>
        <v/>
      </c>
      <c r="D9" s="4">
        <f>C9*B9</f>
        <v/>
      </c>
      <c r="E9" s="4">
        <f>MAX(0,Inputs!D9-MEDIAN(Inputs!D$5:Inputs!D$13))*B9</f>
        <v/>
      </c>
      <c r="F9" s="4">
        <f>MAX(0,Inputs!E9-MEDIAN(Inputs!E$5:Inputs!E$13))*B9</f>
        <v/>
      </c>
      <c r="G9" s="4">
        <f>MAX(0,MEDIAN(Inputs!F$5:Inputs!F$13)-Inputs!F9)*B9</f>
        <v/>
      </c>
      <c r="H9" s="4">
        <f>SUM(E9:G9)</f>
        <v/>
      </c>
      <c r="I9">
        <f>IF(H9=0,"At/better than median",IF(E9=MAX(E9:G9),"Receivables",IF(F9=MAX(E9:G9),"Inventory","Payables")))</f>
        <v/>
      </c>
    </row>
    <row r="10">
      <c r="A10">
        <f>Inputs!A10</f>
        <v/>
      </c>
      <c r="B10" s="4">
        <f>Inputs!C10/365</f>
        <v/>
      </c>
      <c r="C10" s="4">
        <f>Inputs!D10+Inputs!E10-Inputs!F10</f>
        <v/>
      </c>
      <c r="D10" s="4">
        <f>C10*B10</f>
        <v/>
      </c>
      <c r="E10" s="4">
        <f>MAX(0,Inputs!D10-MEDIAN(Inputs!D$5:Inputs!D$13))*B10</f>
        <v/>
      </c>
      <c r="F10" s="4">
        <f>MAX(0,Inputs!E10-MEDIAN(Inputs!E$5:Inputs!E$13))*B10</f>
        <v/>
      </c>
      <c r="G10" s="4">
        <f>MAX(0,MEDIAN(Inputs!F$5:Inputs!F$13)-Inputs!F10)*B10</f>
        <v/>
      </c>
      <c r="H10" s="4">
        <f>SUM(E10:G10)</f>
        <v/>
      </c>
      <c r="I10">
        <f>IF(H10=0,"At/better than median",IF(E10=MAX(E10:G10),"Receivables",IF(F10=MAX(E10:G10),"Inventory","Payables")))</f>
        <v/>
      </c>
    </row>
    <row r="11">
      <c r="A11">
        <f>Inputs!A11</f>
        <v/>
      </c>
      <c r="B11" s="4">
        <f>Inputs!C11/365</f>
        <v/>
      </c>
      <c r="C11" s="4">
        <f>Inputs!D11+Inputs!E11-Inputs!F11</f>
        <v/>
      </c>
      <c r="D11" s="4">
        <f>C11*B11</f>
        <v/>
      </c>
      <c r="E11" s="4">
        <f>MAX(0,Inputs!D11-MEDIAN(Inputs!D$5:Inputs!D$13))*B11</f>
        <v/>
      </c>
      <c r="F11" s="4">
        <f>MAX(0,Inputs!E11-MEDIAN(Inputs!E$5:Inputs!E$13))*B11</f>
        <v/>
      </c>
      <c r="G11" s="4">
        <f>MAX(0,MEDIAN(Inputs!F$5:Inputs!F$13)-Inputs!F11)*B11</f>
        <v/>
      </c>
      <c r="H11" s="4">
        <f>SUM(E11:G11)</f>
        <v/>
      </c>
      <c r="I11">
        <f>IF(H11=0,"At/better than median",IF(E11=MAX(E11:G11),"Receivables",IF(F11=MAX(E11:G11),"Inventory","Payables")))</f>
        <v/>
      </c>
    </row>
    <row r="12">
      <c r="A12">
        <f>Inputs!A12</f>
        <v/>
      </c>
      <c r="B12" s="4">
        <f>Inputs!C12/365</f>
        <v/>
      </c>
      <c r="C12" s="4">
        <f>Inputs!D12+Inputs!E12-Inputs!F12</f>
        <v/>
      </c>
      <c r="D12" s="4">
        <f>C12*B12</f>
        <v/>
      </c>
      <c r="E12" s="4">
        <f>MAX(0,Inputs!D12-MEDIAN(Inputs!D$5:Inputs!D$13))*B12</f>
        <v/>
      </c>
      <c r="F12" s="4">
        <f>MAX(0,Inputs!E12-MEDIAN(Inputs!E$5:Inputs!E$13))*B12</f>
        <v/>
      </c>
      <c r="G12" s="4">
        <f>MAX(0,MEDIAN(Inputs!F$5:Inputs!F$13)-Inputs!F12)*B12</f>
        <v/>
      </c>
      <c r="H12" s="4">
        <f>SUM(E12:G12)</f>
        <v/>
      </c>
      <c r="I12">
        <f>IF(H12=0,"At/better than median",IF(E12=MAX(E12:G12),"Receivables",IF(F12=MAX(E12:G12),"Inventory","Payables")))</f>
        <v/>
      </c>
    </row>
    <row r="13">
      <c r="A13">
        <f>Inputs!A13</f>
        <v/>
      </c>
      <c r="B13" s="4">
        <f>Inputs!C13/365</f>
        <v/>
      </c>
      <c r="C13" s="4">
        <f>Inputs!D13+Inputs!E13-Inputs!F13</f>
        <v/>
      </c>
      <c r="D13" s="4">
        <f>C13*B13</f>
        <v/>
      </c>
      <c r="E13" s="4">
        <f>MAX(0,Inputs!D13-MEDIAN(Inputs!D$5:Inputs!D$13))*B13</f>
        <v/>
      </c>
      <c r="F13" s="4">
        <f>MAX(0,Inputs!E13-MEDIAN(Inputs!E$5:Inputs!E$13))*B13</f>
        <v/>
      </c>
      <c r="G13" s="4">
        <f>MAX(0,MEDIAN(Inputs!F$5:Inputs!F$13)-Inputs!F13)*B13</f>
        <v/>
      </c>
      <c r="H13" s="4">
        <f>SUM(E13:G13)</f>
        <v/>
      </c>
      <c r="I13">
        <f>IF(H13=0,"At/better than median",IF(E13=MAX(E13:G13),"Receivables",IF(F13=MAX(E13:G13),"Inventory","Payables")))</f>
        <v/>
      </c>
    </row>
    <row r="14"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Peer median</t>
        </is>
      </c>
      <c r="B15" s="4" t="n"/>
      <c r="C15" s="4">
        <f>MEDIAN(C5:C13)</f>
        <v/>
      </c>
      <c r="D15" s="4" t="n"/>
      <c r="E15" s="4" t="n"/>
      <c r="F15" s="4" t="n"/>
      <c r="G15" s="4" t="n"/>
      <c r="H15" s="4" t="n"/>
    </row>
    <row r="16">
      <c r="A16" s="5" t="inlineStr">
        <is>
          <t>Total release, all companies</t>
        </is>
      </c>
      <c r="B16" s="4" t="n"/>
      <c r="C16" s="4" t="n"/>
      <c r="D16" s="4" t="n"/>
      <c r="E16" s="4" t="n"/>
      <c r="F16" s="4" t="n"/>
      <c r="G16" s="4" t="n"/>
      <c r="H16" s="4">
        <f>SUM(H5:H13)</f>
        <v/>
      </c>
    </row>
    <row r="17">
      <c r="A17" s="5" t="inlineStr">
        <is>
          <t>Total release, excl. ITC</t>
        </is>
      </c>
      <c r="B17" s="4" t="n"/>
      <c r="C17" s="4" t="n"/>
      <c r="D17" s="4" t="n"/>
      <c r="E17" s="4" t="n"/>
      <c r="F17" s="4" t="n"/>
      <c r="G17" s="4" t="n"/>
      <c r="H17" s="4">
        <f>H16-SUMIF(A5:A13,"ITC",H5:H13)</f>
        <v/>
      </c>
    </row>
    <row r="18">
      <c r="A18" t="inlineStr">
        <is>
          <t>ITC is excluded from the headline: its leaf-tobacco stock is aged for years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0" customWidth="1" min="4" max="4"/>
  </cols>
  <sheetData>
    <row r="1">
      <c r="A1" s="1" t="inlineStr">
        <is>
          <t>Supply chain finance scenario</t>
        </is>
      </c>
    </row>
    <row r="2">
      <c r="A2" t="inlineStr">
        <is>
          <t>Bank pays suppliers early; buyer pays the bank later, extending its payable days.</t>
        </is>
      </c>
    </row>
    <row r="3">
      <c r="A3" t="inlineStr">
        <is>
          <t>Extra payable days (change me)</t>
        </is>
      </c>
      <c r="B3" s="6" t="n">
        <v>15</v>
      </c>
    </row>
    <row r="4" ht="32" customHeight="1">
      <c r="A4" s="2" t="inlineStr">
        <is>
          <t>Company</t>
        </is>
      </c>
      <c r="B4" s="2" t="inlineStr">
        <is>
          <t>Payable days now</t>
        </is>
      </c>
      <c r="C4" s="2" t="inlineStr">
        <is>
          <t>Payable days with SCF</t>
        </is>
      </c>
      <c r="D4" s="2" t="inlineStr">
        <is>
          <t>Cash released (Rs cr)</t>
        </is>
      </c>
    </row>
    <row r="5">
      <c r="A5">
        <f>Inputs!A5</f>
        <v/>
      </c>
      <c r="B5">
        <f>Inputs!F5</f>
        <v/>
      </c>
      <c r="C5">
        <f>B5+$B$3</f>
        <v/>
      </c>
      <c r="D5" s="7">
        <f>$B$3*Model!B5</f>
        <v/>
      </c>
    </row>
    <row r="6">
      <c r="A6">
        <f>Inputs!A6</f>
        <v/>
      </c>
      <c r="B6">
        <f>Inputs!F6</f>
        <v/>
      </c>
      <c r="C6">
        <f>B6+$B$3</f>
        <v/>
      </c>
      <c r="D6" s="7">
        <f>$B$3*Model!B6</f>
        <v/>
      </c>
    </row>
    <row r="7">
      <c r="A7">
        <f>Inputs!A7</f>
        <v/>
      </c>
      <c r="B7">
        <f>Inputs!F7</f>
        <v/>
      </c>
      <c r="C7">
        <f>B7+$B$3</f>
        <v/>
      </c>
      <c r="D7" s="7">
        <f>$B$3*Model!B7</f>
        <v/>
      </c>
    </row>
    <row r="8">
      <c r="A8">
        <f>Inputs!A8</f>
        <v/>
      </c>
      <c r="B8">
        <f>Inputs!F8</f>
        <v/>
      </c>
      <c r="C8">
        <f>B8+$B$3</f>
        <v/>
      </c>
      <c r="D8" s="7">
        <f>$B$3*Model!B8</f>
        <v/>
      </c>
    </row>
    <row r="9">
      <c r="A9">
        <f>Inputs!A9</f>
        <v/>
      </c>
      <c r="B9">
        <f>Inputs!F9</f>
        <v/>
      </c>
      <c r="C9">
        <f>B9+$B$3</f>
        <v/>
      </c>
      <c r="D9" s="7">
        <f>$B$3*Model!B9</f>
        <v/>
      </c>
    </row>
    <row r="10">
      <c r="A10">
        <f>Inputs!A10</f>
        <v/>
      </c>
      <c r="B10">
        <f>Inputs!F10</f>
        <v/>
      </c>
      <c r="C10">
        <f>B10+$B$3</f>
        <v/>
      </c>
      <c r="D10" s="7">
        <f>$B$3*Model!B10</f>
        <v/>
      </c>
    </row>
    <row r="11">
      <c r="A11">
        <f>Inputs!A11</f>
        <v/>
      </c>
      <c r="B11">
        <f>Inputs!F11</f>
        <v/>
      </c>
      <c r="C11">
        <f>B11+$B$3</f>
        <v/>
      </c>
      <c r="D11" s="7">
        <f>$B$3*Model!B11</f>
        <v/>
      </c>
    </row>
    <row r="12">
      <c r="A12">
        <f>Inputs!A12</f>
        <v/>
      </c>
      <c r="B12">
        <f>Inputs!F12</f>
        <v/>
      </c>
      <c r="C12">
        <f>B12+$B$3</f>
        <v/>
      </c>
      <c r="D12" s="7">
        <f>$B$3*Model!B12</f>
        <v/>
      </c>
    </row>
    <row r="13">
      <c r="A13">
        <f>Inputs!A13</f>
        <v/>
      </c>
      <c r="B13">
        <f>Inputs!F13</f>
        <v/>
      </c>
      <c r="C13">
        <f>B13+$B$3</f>
        <v/>
      </c>
      <c r="D13" s="7">
        <f>$B$3*Model!B13</f>
        <v/>
      </c>
    </row>
    <row r="15">
      <c r="A15" s="5" t="inlineStr">
        <is>
          <t>Total</t>
        </is>
      </c>
      <c r="D15" s="7">
        <f>SUM(D5:D13)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Cash conversion cycle (days), FY2015-FY2025</t>
        </is>
      </c>
    </row>
    <row r="3" ht="32" customHeight="1">
      <c r="A3" s="2" t="inlineStr">
        <is>
          <t>Ticker</t>
        </is>
      </c>
      <c r="B3" s="2" t="inlineStr">
        <is>
          <t>FY2015</t>
        </is>
      </c>
      <c r="C3" s="2" t="inlineStr">
        <is>
          <t>FY2016</t>
        </is>
      </c>
      <c r="D3" s="2" t="inlineStr">
        <is>
          <t>FY2017</t>
        </is>
      </c>
      <c r="E3" s="2" t="inlineStr">
        <is>
          <t>FY2018</t>
        </is>
      </c>
      <c r="F3" s="2" t="inlineStr">
        <is>
          <t>FY2019</t>
        </is>
      </c>
      <c r="G3" s="2" t="inlineStr">
        <is>
          <t>FY2020</t>
        </is>
      </c>
      <c r="H3" s="2" t="inlineStr">
        <is>
          <t>FY2021</t>
        </is>
      </c>
      <c r="I3" s="2" t="inlineStr">
        <is>
          <t>FY2022</t>
        </is>
      </c>
      <c r="J3" s="2" t="inlineStr">
        <is>
          <t>FY2023</t>
        </is>
      </c>
      <c r="K3" s="2" t="inlineStr">
        <is>
          <t>FY2024</t>
        </is>
      </c>
      <c r="L3" s="2" t="inlineStr">
        <is>
          <t>FY2025</t>
        </is>
      </c>
      <c r="M3" s="2" t="inlineStr">
        <is>
          <t>Change (days)</t>
        </is>
      </c>
    </row>
    <row r="4">
      <c r="A4" t="inlineStr">
        <is>
          <t>BRITANNIA</t>
        </is>
      </c>
      <c r="B4" s="3" t="n">
        <v>-19</v>
      </c>
      <c r="C4" s="3" t="n">
        <v>-16</v>
      </c>
      <c r="D4" s="3" t="n">
        <v>2</v>
      </c>
      <c r="E4" s="3" t="n">
        <v>-8</v>
      </c>
      <c r="F4" s="3" t="n">
        <v>-6</v>
      </c>
      <c r="G4" s="3" t="n">
        <v>-6</v>
      </c>
      <c r="H4" s="3" t="n">
        <v>-4</v>
      </c>
      <c r="I4" s="3" t="n">
        <v>10</v>
      </c>
      <c r="J4" s="3" t="n">
        <v>-3</v>
      </c>
      <c r="K4" s="3" t="n">
        <v>-9</v>
      </c>
      <c r="L4" s="3" t="n">
        <v>-8</v>
      </c>
      <c r="M4">
        <f>L4-B4</f>
        <v/>
      </c>
    </row>
    <row r="5">
      <c r="A5" t="inlineStr">
        <is>
          <t>COLPAL</t>
        </is>
      </c>
      <c r="B5" s="3" t="n">
        <v>-59</v>
      </c>
      <c r="C5" s="3" t="n">
        <v>-54</v>
      </c>
      <c r="D5" s="3" t="n">
        <v>-64</v>
      </c>
      <c r="E5" s="3" t="n">
        <v>-78</v>
      </c>
      <c r="F5" s="3" t="n">
        <v>-69</v>
      </c>
      <c r="G5" s="3" t="n">
        <v>-62</v>
      </c>
      <c r="H5" s="3" t="n">
        <v>-91</v>
      </c>
      <c r="I5" s="3" t="n">
        <v>-75</v>
      </c>
      <c r="J5" s="3" t="n">
        <v>-76</v>
      </c>
      <c r="K5" s="3" t="n">
        <v>-113</v>
      </c>
      <c r="L5" s="3" t="n">
        <v>-95</v>
      </c>
      <c r="M5">
        <f>L5-B5</f>
        <v/>
      </c>
    </row>
    <row r="6">
      <c r="A6" t="inlineStr">
        <is>
          <t>DABUR</t>
        </is>
      </c>
      <c r="B6" s="3" t="n">
        <v>16</v>
      </c>
      <c r="C6" s="3" t="n">
        <v>6</v>
      </c>
      <c r="D6" s="3" t="n">
        <v>3</v>
      </c>
      <c r="E6" s="3" t="n">
        <v>12</v>
      </c>
      <c r="F6" s="3" t="n">
        <v>18</v>
      </c>
      <c r="G6" s="3" t="n">
        <v>22</v>
      </c>
      <c r="H6" s="3" t="n">
        <v>2</v>
      </c>
      <c r="I6" s="3" t="n">
        <v>13</v>
      </c>
      <c r="J6" s="3" t="n">
        <v>14</v>
      </c>
      <c r="K6" s="3" t="n">
        <v>-11</v>
      </c>
      <c r="L6" s="3" t="n">
        <v>-14</v>
      </c>
      <c r="M6">
        <f>L6-B6</f>
        <v/>
      </c>
    </row>
    <row r="7">
      <c r="A7" t="inlineStr">
        <is>
          <t>EMAMILTD</t>
        </is>
      </c>
      <c r="B7" s="3" t="n">
        <v>-13</v>
      </c>
      <c r="C7" s="3" t="n">
        <v>-24</v>
      </c>
      <c r="D7" s="3" t="n">
        <v>12</v>
      </c>
      <c r="E7" s="3" t="n">
        <v>0</v>
      </c>
      <c r="F7" s="3" t="n">
        <v>2</v>
      </c>
      <c r="G7" s="3" t="n">
        <v>9</v>
      </c>
      <c r="H7" s="3" t="n">
        <v>9</v>
      </c>
      <c r="I7" s="3" t="n">
        <v>20</v>
      </c>
      <c r="J7" s="3" t="n">
        <v>20</v>
      </c>
      <c r="K7" s="3" t="n">
        <v>9</v>
      </c>
      <c r="L7" s="3" t="n">
        <v>4</v>
      </c>
      <c r="M7">
        <f>L7-B7</f>
        <v/>
      </c>
    </row>
    <row r="8">
      <c r="A8" t="inlineStr">
        <is>
          <t>GODREJCP</t>
        </is>
      </c>
      <c r="B8" s="3" t="n">
        <v>35</v>
      </c>
      <c r="C8" s="3" t="n">
        <v>31</v>
      </c>
      <c r="D8" s="3" t="n">
        <v>14</v>
      </c>
      <c r="E8" s="3" t="n">
        <v>-20</v>
      </c>
      <c r="F8" s="3" t="n">
        <v>-33</v>
      </c>
      <c r="G8" s="3" t="n">
        <v>-23</v>
      </c>
      <c r="H8" s="3" t="n">
        <v>11</v>
      </c>
      <c r="I8" s="3" t="n">
        <v>31</v>
      </c>
      <c r="J8" s="3" t="n">
        <v>19</v>
      </c>
      <c r="K8" s="3" t="n">
        <v>16</v>
      </c>
      <c r="L8" s="3" t="n">
        <v>5</v>
      </c>
      <c r="M8">
        <f>L8-B8</f>
        <v/>
      </c>
    </row>
    <row r="9">
      <c r="A9" t="inlineStr">
        <is>
          <t>HINDUNILVR</t>
        </is>
      </c>
      <c r="B9" s="3" t="n">
        <v>-59</v>
      </c>
      <c r="C9" s="3" t="n">
        <v>-67</v>
      </c>
      <c r="D9" s="3" t="n">
        <v>-85</v>
      </c>
      <c r="E9" s="3" t="n">
        <v>-107</v>
      </c>
      <c r="F9" s="3" t="n">
        <v>-90</v>
      </c>
      <c r="G9" s="3" t="n">
        <v>-100</v>
      </c>
      <c r="H9" s="3" t="n">
        <v>-83</v>
      </c>
      <c r="I9" s="3" t="n">
        <v>-64</v>
      </c>
      <c r="J9" s="3" t="n">
        <v>-49</v>
      </c>
      <c r="K9" s="3" t="n">
        <v>-70</v>
      </c>
      <c r="L9" s="3" t="n">
        <v>-72</v>
      </c>
      <c r="M9">
        <f>L9-B9</f>
        <v/>
      </c>
    </row>
    <row r="10">
      <c r="A10" t="inlineStr">
        <is>
          <t>ITC</t>
        </is>
      </c>
      <c r="B10" s="3" t="n">
        <v>181</v>
      </c>
      <c r="C10" s="3" t="n">
        <v>199</v>
      </c>
      <c r="D10" s="3" t="n">
        <v>146</v>
      </c>
      <c r="E10" s="3" t="n">
        <v>116</v>
      </c>
      <c r="F10" s="3" t="n">
        <v>121</v>
      </c>
      <c r="G10" s="3" t="n">
        <v>130</v>
      </c>
      <c r="H10" s="3" t="n">
        <v>130</v>
      </c>
      <c r="I10" s="3" t="n">
        <v>104</v>
      </c>
      <c r="J10" s="3" t="n">
        <v>104</v>
      </c>
      <c r="K10" s="3" t="n">
        <v>148</v>
      </c>
      <c r="L10" s="3" t="n">
        <v>146</v>
      </c>
      <c r="M10">
        <f>L10-B10</f>
        <v/>
      </c>
    </row>
    <row r="11">
      <c r="A11" t="inlineStr">
        <is>
          <t>MARICO</t>
        </is>
      </c>
      <c r="B11" s="3" t="n">
        <v>71</v>
      </c>
      <c r="C11" s="3" t="n">
        <v>45</v>
      </c>
      <c r="D11" s="3" t="n">
        <v>101</v>
      </c>
      <c r="E11" s="3" t="n">
        <v>107</v>
      </c>
      <c r="F11" s="3" t="n">
        <v>75</v>
      </c>
      <c r="G11" s="3" t="n">
        <v>76</v>
      </c>
      <c r="H11" s="3" t="n">
        <v>17</v>
      </c>
      <c r="I11" s="3" t="n">
        <v>30</v>
      </c>
      <c r="J11" s="3" t="n">
        <v>20</v>
      </c>
      <c r="K11" s="3" t="n">
        <v>19</v>
      </c>
      <c r="L11" s="3" t="n">
        <v>33</v>
      </c>
      <c r="M11">
        <f>L11-B11</f>
        <v/>
      </c>
    </row>
    <row r="12">
      <c r="A12" t="inlineStr">
        <is>
          <t>TATACONSUM</t>
        </is>
      </c>
      <c r="B12" s="3" t="n">
        <v>122</v>
      </c>
      <c r="C12" s="3" t="n">
        <v>129</v>
      </c>
      <c r="D12" s="3" t="n">
        <v>115</v>
      </c>
      <c r="E12" s="3" t="n">
        <v>108</v>
      </c>
      <c r="F12" s="3" t="n">
        <v>119</v>
      </c>
      <c r="G12" s="3" t="n">
        <v>86</v>
      </c>
      <c r="H12" s="3" t="n">
        <v>61</v>
      </c>
      <c r="I12" s="3" t="n">
        <v>46</v>
      </c>
      <c r="J12" s="3" t="n">
        <v>40</v>
      </c>
      <c r="K12" s="3" t="n">
        <v>26</v>
      </c>
      <c r="L12" s="3" t="n">
        <v>22</v>
      </c>
      <c r="M12">
        <f>L12-B12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2026-10-13T14:56:14Z</dcterms:created>
  <dcterms:modified xmlns:dcterms="http://purl.org/dc/terms/" xmlns:xsi="http://www.w3.org/2001/XMLSchema-instance" xsi:type="dcterms:W3CDTF">2026-10-13T14:56:14Z</dcterms:modified>
</cp:coreProperties>
</file>